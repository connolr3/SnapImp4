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LR3\Documents\GitHub\SnapImp4\"/>
    </mc:Choice>
  </mc:AlternateContent>
  <xr:revisionPtr revIDLastSave="0" documentId="8_{BB3406B8-F9EC-405A-83F9-227FD17F13DB}" xr6:coauthVersionLast="47" xr6:coauthVersionMax="47" xr10:uidLastSave="{00000000-0000-0000-0000-000000000000}"/>
  <bookViews>
    <workbookView xWindow="-98" yWindow="-98" windowWidth="28996" windowHeight="15675" xr2:uid="{A2FB4084-0029-4A8C-898A-45A1C45DE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2" i="1"/>
  <c r="Z13" i="1"/>
  <c r="Y13" i="1"/>
  <c r="Y3" i="1"/>
  <c r="Y4" i="1"/>
  <c r="Y5" i="1"/>
  <c r="Y6" i="1"/>
  <c r="Y7" i="1"/>
  <c r="Y8" i="1"/>
  <c r="Y9" i="1"/>
  <c r="Y10" i="1"/>
  <c r="Y11" i="1"/>
  <c r="Y2" i="1"/>
  <c r="X3" i="1"/>
  <c r="X4" i="1"/>
  <c r="X5" i="1"/>
  <c r="X6" i="1"/>
  <c r="X7" i="1"/>
  <c r="X8" i="1"/>
  <c r="X9" i="1"/>
  <c r="X10" i="1"/>
  <c r="X11" i="1"/>
  <c r="X2" i="1"/>
  <c r="W3" i="1"/>
  <c r="W4" i="1"/>
  <c r="W5" i="1"/>
  <c r="W6" i="1"/>
  <c r="W7" i="1"/>
  <c r="W8" i="1"/>
  <c r="W9" i="1"/>
  <c r="W10" i="1"/>
  <c r="W11" i="1"/>
  <c r="W2" i="1"/>
  <c r="V3" i="1"/>
  <c r="V4" i="1"/>
  <c r="V5" i="1"/>
  <c r="V6" i="1"/>
  <c r="V7" i="1"/>
  <c r="V8" i="1"/>
  <c r="V9" i="1"/>
  <c r="V10" i="1"/>
  <c r="V11" i="1"/>
  <c r="V2" i="1"/>
  <c r="U3" i="1"/>
  <c r="U4" i="1"/>
  <c r="U5" i="1"/>
  <c r="U6" i="1"/>
  <c r="U7" i="1"/>
  <c r="U8" i="1"/>
  <c r="U9" i="1"/>
  <c r="U10" i="1"/>
  <c r="U11" i="1"/>
  <c r="U2" i="1"/>
</calcChain>
</file>

<file path=xl/sharedStrings.xml><?xml version="1.0" encoding="utf-8"?>
<sst xmlns="http://schemas.openxmlformats.org/spreadsheetml/2006/main" count="55" uniqueCount="31">
  <si>
    <t>gender</t>
  </si>
  <si>
    <t>ID</t>
  </si>
  <si>
    <t>IPD Preference</t>
  </si>
  <si>
    <t>first block</t>
  </si>
  <si>
    <t>SNAP1</t>
  </si>
  <si>
    <t>Subs T</t>
  </si>
  <si>
    <t>SNAP2</t>
  </si>
  <si>
    <t>SNAP3</t>
  </si>
  <si>
    <t>T1</t>
  </si>
  <si>
    <t>T2</t>
  </si>
  <si>
    <t>T3</t>
  </si>
  <si>
    <t>PSIAL SNAP</t>
  </si>
  <si>
    <t>PSIAL REGULAR</t>
  </si>
  <si>
    <t>m</t>
  </si>
  <si>
    <t>regular</t>
  </si>
  <si>
    <t>rfb</t>
  </si>
  <si>
    <t>snap</t>
  </si>
  <si>
    <t>f</t>
  </si>
  <si>
    <t>cfg</t>
  </si>
  <si>
    <t>dft</t>
  </si>
  <si>
    <t>mcf</t>
  </si>
  <si>
    <t>jcv</t>
  </si>
  <si>
    <t>mjk</t>
  </si>
  <si>
    <t>ols</t>
  </si>
  <si>
    <t>dcf</t>
  </si>
  <si>
    <t>ipd</t>
  </si>
  <si>
    <t>id</t>
  </si>
  <si>
    <t>ddaa</t>
  </si>
  <si>
    <t>adj_snap</t>
  </si>
  <si>
    <t>adj_reg</t>
  </si>
  <si>
    <t>falseipd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</si>
</sst>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4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76C1-84AB-4216-8802-BC437E506302}">
  <dimension ref="A1:Z13"/>
  <sheetViews>
    <sheetView tabSelected="1" workbookViewId="0">
      <selection activeCell="G16" sqref="G16"/>
    </sheetView>
  </sheetViews>
  <sheetFormatPr defaultRowHeight="14.25" x14ac:dyDescent="0.45"/>
  <sheetData>
    <row r="1" spans="1:26" ht="39.75" x14ac:dyDescent="0.4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6" t="s">
        <v>5</v>
      </c>
      <c r="I1" s="5" t="s">
        <v>7</v>
      </c>
      <c r="J1" s="6" t="s">
        <v>5</v>
      </c>
      <c r="K1" s="5" t="s">
        <v>8</v>
      </c>
      <c r="L1" s="7" t="s">
        <v>5</v>
      </c>
      <c r="M1" s="5" t="s">
        <v>9</v>
      </c>
      <c r="N1" s="7" t="s">
        <v>5</v>
      </c>
      <c r="O1" s="5" t="s">
        <v>10</v>
      </c>
      <c r="P1" s="7" t="s">
        <v>5</v>
      </c>
      <c r="Q1" s="4" t="s">
        <v>11</v>
      </c>
      <c r="R1" s="4" t="s">
        <v>12</v>
      </c>
      <c r="S1" s="4" t="s">
        <v>2</v>
      </c>
      <c r="T1" s="4" t="s">
        <v>26</v>
      </c>
      <c r="U1" s="4" t="s">
        <v>28</v>
      </c>
      <c r="V1" s="4" t="s">
        <v>29</v>
      </c>
      <c r="W1" s="4" t="s">
        <v>28</v>
      </c>
      <c r="X1" s="4" t="s">
        <v>29</v>
      </c>
      <c r="Y1" s="4" t="s">
        <v>30</v>
      </c>
    </row>
    <row r="2" spans="1:26" x14ac:dyDescent="0.45">
      <c r="A2" s="1" t="s">
        <v>13</v>
      </c>
      <c r="B2" s="1" t="s">
        <v>15</v>
      </c>
      <c r="C2" s="8">
        <v>1.011617</v>
      </c>
      <c r="D2" s="1" t="s">
        <v>16</v>
      </c>
      <c r="E2" s="9">
        <v>0.96</v>
      </c>
      <c r="F2" s="11">
        <v>2</v>
      </c>
      <c r="G2" s="9">
        <v>0.03</v>
      </c>
      <c r="H2" s="11">
        <v>2</v>
      </c>
      <c r="I2" s="9">
        <v>-0.82</v>
      </c>
      <c r="J2" s="11">
        <v>2</v>
      </c>
      <c r="K2" s="9">
        <v>1.69</v>
      </c>
      <c r="L2" s="10">
        <v>1</v>
      </c>
      <c r="M2" s="9">
        <v>1.64</v>
      </c>
      <c r="N2" s="10">
        <v>1</v>
      </c>
      <c r="O2" s="9">
        <v>2.12</v>
      </c>
      <c r="P2" s="10">
        <v>0</v>
      </c>
      <c r="Q2" s="8">
        <v>7</v>
      </c>
      <c r="R2" s="8">
        <v>9</v>
      </c>
      <c r="S2" s="8">
        <v>1.011617</v>
      </c>
      <c r="T2" s="8">
        <v>2</v>
      </c>
      <c r="U2">
        <f>AVERAGE(F2,H2,J2)</f>
        <v>2</v>
      </c>
      <c r="V2">
        <f>AVERAGE(L2,N2,P2)</f>
        <v>0.66666666666666663</v>
      </c>
      <c r="W2">
        <f>SUM(H2,J2,F2)</f>
        <v>6</v>
      </c>
      <c r="X2">
        <f>SUM(N2,P2,L2)</f>
        <v>2</v>
      </c>
      <c r="Y2" s="12">
        <f>AVERAGE(K2,M2,O2)</f>
        <v>1.8166666666666667</v>
      </c>
      <c r="Z2" s="12">
        <f>C2-Y2</f>
        <v>-0.80504966666666666</v>
      </c>
    </row>
    <row r="3" spans="1:26" x14ac:dyDescent="0.45">
      <c r="A3" s="1" t="s">
        <v>17</v>
      </c>
      <c r="B3" s="1" t="s">
        <v>18</v>
      </c>
      <c r="C3" s="8">
        <v>0.55000000000000004</v>
      </c>
      <c r="D3" s="1" t="s">
        <v>14</v>
      </c>
      <c r="E3" s="9">
        <v>0.78</v>
      </c>
      <c r="F3" s="11">
        <v>2</v>
      </c>
      <c r="G3" s="9">
        <v>1.1499999999999999</v>
      </c>
      <c r="H3" s="2"/>
      <c r="I3" s="9">
        <v>1.1000000000000001</v>
      </c>
      <c r="J3" s="2"/>
      <c r="K3" s="9">
        <v>0.98</v>
      </c>
      <c r="L3" s="10">
        <v>2</v>
      </c>
      <c r="M3" s="9">
        <v>1.1200000000000001</v>
      </c>
      <c r="N3" s="10">
        <v>4</v>
      </c>
      <c r="O3" s="9">
        <v>1.1299999999999999</v>
      </c>
      <c r="P3" s="10">
        <v>4</v>
      </c>
      <c r="Q3" s="8">
        <v>-2</v>
      </c>
      <c r="R3" s="8">
        <v>2</v>
      </c>
      <c r="S3" s="8">
        <v>0.55000000000000004</v>
      </c>
      <c r="T3" s="8">
        <v>3</v>
      </c>
      <c r="U3">
        <f t="shared" ref="U3:U11" si="0">AVERAGE(F3,H3,J3)</f>
        <v>2</v>
      </c>
      <c r="V3">
        <f t="shared" ref="V3:V11" si="1">AVERAGE(L3,N3,P3)</f>
        <v>3.3333333333333335</v>
      </c>
      <c r="W3">
        <f t="shared" ref="W3:W11" si="2">SUM(H3,J3,F3)</f>
        <v>2</v>
      </c>
      <c r="X3">
        <f t="shared" ref="X3:X11" si="3">AVERAGE(N3,P3,R3)</f>
        <v>3.3333333333333335</v>
      </c>
      <c r="Y3" s="12">
        <f>AVERAGE(K3,M3,O3)</f>
        <v>1.0766666666666667</v>
      </c>
      <c r="Z3" s="12">
        <f t="shared" ref="Z3:Z11" si="4">C3-Y3</f>
        <v>-0.52666666666666662</v>
      </c>
    </row>
    <row r="4" spans="1:26" x14ac:dyDescent="0.45">
      <c r="A4" s="1" t="s">
        <v>13</v>
      </c>
      <c r="B4" s="1" t="s">
        <v>19</v>
      </c>
      <c r="C4" s="8">
        <v>1.3768309999999999</v>
      </c>
      <c r="D4" s="1" t="s">
        <v>14</v>
      </c>
      <c r="E4" s="9">
        <v>1.17</v>
      </c>
      <c r="F4" s="11">
        <v>0</v>
      </c>
      <c r="G4" s="9">
        <v>0.85</v>
      </c>
      <c r="H4" s="11">
        <v>0</v>
      </c>
      <c r="I4" s="9">
        <v>-0.37</v>
      </c>
      <c r="J4" s="11">
        <v>0</v>
      </c>
      <c r="K4" s="9">
        <v>1.78</v>
      </c>
      <c r="L4" s="10">
        <v>0</v>
      </c>
      <c r="M4" s="9">
        <v>2</v>
      </c>
      <c r="N4" s="10">
        <v>0</v>
      </c>
      <c r="O4" s="9">
        <v>1.47</v>
      </c>
      <c r="P4" s="10">
        <v>0</v>
      </c>
      <c r="Q4" s="8">
        <v>0</v>
      </c>
      <c r="R4" s="8">
        <v>1</v>
      </c>
      <c r="S4" s="8">
        <v>1.3768309999999999</v>
      </c>
      <c r="T4" s="8">
        <v>4</v>
      </c>
      <c r="U4">
        <f t="shared" si="0"/>
        <v>0</v>
      </c>
      <c r="V4">
        <f t="shared" si="1"/>
        <v>0</v>
      </c>
      <c r="W4">
        <f t="shared" si="2"/>
        <v>0</v>
      </c>
      <c r="X4">
        <f t="shared" si="3"/>
        <v>0.33333333333333331</v>
      </c>
      <c r="Y4" s="12">
        <f>AVERAGE(K4,M4,O4)</f>
        <v>1.75</v>
      </c>
      <c r="Z4" s="12">
        <f t="shared" si="4"/>
        <v>-0.37316900000000008</v>
      </c>
    </row>
    <row r="5" spans="1:26" x14ac:dyDescent="0.45">
      <c r="A5" s="1" t="s">
        <v>17</v>
      </c>
      <c r="B5" s="1" t="s">
        <v>20</v>
      </c>
      <c r="C5" s="8">
        <v>1.2179899999999999</v>
      </c>
      <c r="D5" s="1" t="s">
        <v>16</v>
      </c>
      <c r="E5" s="9">
        <v>0</v>
      </c>
      <c r="F5" s="11">
        <v>0</v>
      </c>
      <c r="G5" s="9">
        <v>0.48</v>
      </c>
      <c r="H5" s="11">
        <v>0</v>
      </c>
      <c r="I5" s="9">
        <v>0.86</v>
      </c>
      <c r="J5" s="11">
        <v>0</v>
      </c>
      <c r="K5" s="9">
        <v>1.95</v>
      </c>
      <c r="L5" s="10">
        <v>0</v>
      </c>
      <c r="M5" s="9">
        <v>2.69</v>
      </c>
      <c r="N5" s="10">
        <v>0</v>
      </c>
      <c r="O5" s="9">
        <v>2.39</v>
      </c>
      <c r="P5" s="10">
        <v>0</v>
      </c>
      <c r="Q5" s="8">
        <v>4</v>
      </c>
      <c r="R5" s="8">
        <v>11</v>
      </c>
      <c r="S5" s="8">
        <v>1.2179899999999999</v>
      </c>
      <c r="T5" s="8">
        <v>5</v>
      </c>
      <c r="U5">
        <f t="shared" si="0"/>
        <v>0</v>
      </c>
      <c r="V5">
        <f t="shared" si="1"/>
        <v>0</v>
      </c>
      <c r="W5">
        <f t="shared" si="2"/>
        <v>0</v>
      </c>
      <c r="X5">
        <f t="shared" si="3"/>
        <v>3.6666666666666665</v>
      </c>
      <c r="Y5" s="12">
        <f>AVERAGE(K5,M5,O5)</f>
        <v>2.3433333333333333</v>
      </c>
      <c r="Z5" s="12">
        <f t="shared" si="4"/>
        <v>-1.1253433333333334</v>
      </c>
    </row>
    <row r="6" spans="1:26" x14ac:dyDescent="0.45">
      <c r="A6" s="1" t="s">
        <v>13</v>
      </c>
      <c r="B6" s="1" t="s">
        <v>21</v>
      </c>
      <c r="C6" s="8">
        <v>2.9234270000000002</v>
      </c>
      <c r="D6" s="1" t="s">
        <v>14</v>
      </c>
      <c r="E6" s="9">
        <v>1.39</v>
      </c>
      <c r="F6" s="11">
        <v>0</v>
      </c>
      <c r="G6" s="9">
        <v>-0.13</v>
      </c>
      <c r="H6" s="11">
        <v>0</v>
      </c>
      <c r="I6" s="9">
        <v>-0.16</v>
      </c>
      <c r="J6" s="11">
        <v>0</v>
      </c>
      <c r="K6" s="9">
        <v>2.0699999999999998</v>
      </c>
      <c r="L6" s="10">
        <v>0</v>
      </c>
      <c r="M6" s="9">
        <v>1.67</v>
      </c>
      <c r="N6" s="3"/>
      <c r="O6" s="9">
        <v>2.89</v>
      </c>
      <c r="P6" s="3"/>
      <c r="Q6" s="8">
        <v>12</v>
      </c>
      <c r="R6" s="8">
        <v>15</v>
      </c>
      <c r="S6" s="8">
        <v>2.9234270000000002</v>
      </c>
      <c r="T6" s="8">
        <v>6</v>
      </c>
      <c r="U6">
        <f t="shared" si="0"/>
        <v>0</v>
      </c>
      <c r="V6">
        <f t="shared" si="1"/>
        <v>0</v>
      </c>
      <c r="W6">
        <f t="shared" si="2"/>
        <v>0</v>
      </c>
      <c r="X6">
        <f t="shared" si="3"/>
        <v>15</v>
      </c>
      <c r="Y6" s="12">
        <f>AVERAGE(K6,M6,O6)</f>
        <v>2.21</v>
      </c>
      <c r="Z6" s="12">
        <f t="shared" si="4"/>
        <v>0.71342700000000026</v>
      </c>
    </row>
    <row r="7" spans="1:26" x14ac:dyDescent="0.45">
      <c r="A7" s="1" t="s">
        <v>17</v>
      </c>
      <c r="B7" s="1" t="s">
        <v>22</v>
      </c>
      <c r="C7" s="8">
        <v>1.1734020000000001</v>
      </c>
      <c r="D7" s="1" t="s">
        <v>14</v>
      </c>
      <c r="E7" s="9">
        <v>1.57</v>
      </c>
      <c r="F7" s="11">
        <v>0</v>
      </c>
      <c r="G7" s="9">
        <v>1.05</v>
      </c>
      <c r="H7" s="11">
        <v>1</v>
      </c>
      <c r="I7" s="9">
        <v>1.05</v>
      </c>
      <c r="J7" s="11">
        <v>1</v>
      </c>
      <c r="K7" s="9">
        <v>1.78</v>
      </c>
      <c r="L7" s="10">
        <v>2</v>
      </c>
      <c r="M7" s="9">
        <v>2.19</v>
      </c>
      <c r="N7" s="10">
        <v>0</v>
      </c>
      <c r="O7" s="9">
        <v>2.27</v>
      </c>
      <c r="P7" s="10">
        <v>0</v>
      </c>
      <c r="Q7" s="8">
        <v>-1</v>
      </c>
      <c r="R7" s="8">
        <v>1</v>
      </c>
      <c r="S7" s="8">
        <v>1.1734020000000001</v>
      </c>
      <c r="T7" s="8">
        <v>7</v>
      </c>
      <c r="U7">
        <f t="shared" si="0"/>
        <v>0.66666666666666663</v>
      </c>
      <c r="V7">
        <f t="shared" si="1"/>
        <v>0.66666666666666663</v>
      </c>
      <c r="W7">
        <f t="shared" si="2"/>
        <v>2</v>
      </c>
      <c r="X7">
        <f t="shared" si="3"/>
        <v>0.33333333333333331</v>
      </c>
      <c r="Y7" s="12">
        <f>AVERAGE(K7,M7,O7)</f>
        <v>2.08</v>
      </c>
      <c r="Z7" s="12">
        <f t="shared" si="4"/>
        <v>-0.90659800000000001</v>
      </c>
    </row>
    <row r="8" spans="1:26" x14ac:dyDescent="0.45">
      <c r="A8" s="1" t="s">
        <v>17</v>
      </c>
      <c r="B8" s="1" t="s">
        <v>23</v>
      </c>
      <c r="C8" s="8">
        <v>1.711069</v>
      </c>
      <c r="D8" s="1" t="s">
        <v>16</v>
      </c>
      <c r="E8" s="9">
        <v>1.23</v>
      </c>
      <c r="F8" s="11">
        <v>0</v>
      </c>
      <c r="G8" s="9">
        <v>0.74</v>
      </c>
      <c r="H8" s="11">
        <v>0</v>
      </c>
      <c r="I8" s="9">
        <v>-0.55000000000000004</v>
      </c>
      <c r="J8" s="11">
        <v>0</v>
      </c>
      <c r="K8" s="9">
        <v>1.6</v>
      </c>
      <c r="L8" s="10">
        <v>2</v>
      </c>
      <c r="M8" s="9">
        <v>1.42</v>
      </c>
      <c r="N8" s="10">
        <v>0</v>
      </c>
      <c r="O8" s="9">
        <v>1.35</v>
      </c>
      <c r="P8" s="10">
        <v>0</v>
      </c>
      <c r="Q8" s="8">
        <v>-3</v>
      </c>
      <c r="R8" s="8">
        <v>2</v>
      </c>
      <c r="S8" s="8">
        <v>1.711069</v>
      </c>
      <c r="T8" s="8">
        <v>8</v>
      </c>
      <c r="U8">
        <f t="shared" si="0"/>
        <v>0</v>
      </c>
      <c r="V8">
        <f t="shared" si="1"/>
        <v>0.66666666666666663</v>
      </c>
      <c r="W8">
        <f t="shared" si="2"/>
        <v>0</v>
      </c>
      <c r="X8">
        <f t="shared" si="3"/>
        <v>0.66666666666666663</v>
      </c>
      <c r="Y8" s="12">
        <f>AVERAGE(K8,M8,O8)</f>
        <v>1.4566666666666668</v>
      </c>
      <c r="Z8" s="12">
        <f t="shared" si="4"/>
        <v>0.25440233333333317</v>
      </c>
    </row>
    <row r="9" spans="1:26" x14ac:dyDescent="0.45">
      <c r="A9" s="1" t="s">
        <v>13</v>
      </c>
      <c r="B9" s="1" t="s">
        <v>24</v>
      </c>
      <c r="C9" s="8">
        <v>0.98</v>
      </c>
      <c r="D9" s="1" t="s">
        <v>16</v>
      </c>
      <c r="E9" s="9">
        <v>0.63</v>
      </c>
      <c r="F9" s="11">
        <v>0</v>
      </c>
      <c r="G9" s="9">
        <v>2.93</v>
      </c>
      <c r="H9" s="11">
        <v>0</v>
      </c>
      <c r="I9" s="9">
        <v>1.45</v>
      </c>
      <c r="J9" s="11">
        <v>0</v>
      </c>
      <c r="K9" s="9">
        <v>1.29</v>
      </c>
      <c r="L9" s="10">
        <v>1</v>
      </c>
      <c r="M9" s="9">
        <v>1.1200000000000001</v>
      </c>
      <c r="N9" s="10">
        <v>1</v>
      </c>
      <c r="O9" s="9">
        <v>1.08</v>
      </c>
      <c r="P9" s="10">
        <v>1</v>
      </c>
      <c r="Q9" s="8">
        <v>4</v>
      </c>
      <c r="R9" s="8">
        <v>8</v>
      </c>
      <c r="S9" s="8">
        <v>0.98</v>
      </c>
      <c r="T9" s="8">
        <v>9</v>
      </c>
      <c r="U9">
        <f t="shared" si="0"/>
        <v>0</v>
      </c>
      <c r="V9">
        <f t="shared" si="1"/>
        <v>1</v>
      </c>
      <c r="W9">
        <f t="shared" si="2"/>
        <v>0</v>
      </c>
      <c r="X9">
        <f t="shared" si="3"/>
        <v>3.3333333333333335</v>
      </c>
      <c r="Y9" s="12">
        <f>AVERAGE(K9,M9,O9)</f>
        <v>1.1633333333333333</v>
      </c>
      <c r="Z9" s="12">
        <f t="shared" si="4"/>
        <v>-0.18333333333333335</v>
      </c>
    </row>
    <row r="10" spans="1:26" x14ac:dyDescent="0.45">
      <c r="A10" s="1" t="s">
        <v>13</v>
      </c>
      <c r="B10" s="1" t="s">
        <v>25</v>
      </c>
      <c r="C10" s="8">
        <v>0.78</v>
      </c>
      <c r="D10" s="1" t="s">
        <v>14</v>
      </c>
      <c r="E10" s="9">
        <v>1.21</v>
      </c>
      <c r="F10" s="11">
        <v>2</v>
      </c>
      <c r="G10" s="9">
        <v>0.98</v>
      </c>
      <c r="H10" s="11">
        <v>1</v>
      </c>
      <c r="I10" s="9">
        <v>0.67</v>
      </c>
      <c r="J10" s="11">
        <v>1</v>
      </c>
      <c r="K10" s="9">
        <v>1.47</v>
      </c>
      <c r="L10" s="10">
        <v>3</v>
      </c>
      <c r="M10" s="9">
        <v>1.22</v>
      </c>
      <c r="N10" s="10">
        <v>5</v>
      </c>
      <c r="O10" s="9">
        <v>1.05</v>
      </c>
      <c r="P10" s="10">
        <v>2</v>
      </c>
      <c r="Q10" s="8">
        <v>8</v>
      </c>
      <c r="R10" s="8">
        <v>6</v>
      </c>
      <c r="S10" s="8">
        <v>0.78</v>
      </c>
      <c r="T10" s="8">
        <v>10</v>
      </c>
      <c r="U10">
        <f t="shared" si="0"/>
        <v>1.3333333333333333</v>
      </c>
      <c r="V10">
        <f t="shared" si="1"/>
        <v>3.3333333333333335</v>
      </c>
      <c r="W10">
        <f t="shared" si="2"/>
        <v>4</v>
      </c>
      <c r="X10">
        <f t="shared" si="3"/>
        <v>4.333333333333333</v>
      </c>
      <c r="Y10" s="12">
        <f>AVERAGE(K10,M10,O10)</f>
        <v>1.2466666666666668</v>
      </c>
      <c r="Z10" s="12">
        <f t="shared" si="4"/>
        <v>-0.46666666666666679</v>
      </c>
    </row>
    <row r="11" spans="1:26" x14ac:dyDescent="0.45">
      <c r="A11" s="1" t="s">
        <v>17</v>
      </c>
      <c r="B11" s="1" t="s">
        <v>27</v>
      </c>
      <c r="C11" s="8">
        <v>1.33</v>
      </c>
      <c r="D11" s="1" t="s">
        <v>16</v>
      </c>
      <c r="E11" s="9">
        <v>1.47</v>
      </c>
      <c r="F11" s="11">
        <v>0</v>
      </c>
      <c r="G11" s="9">
        <v>0.2</v>
      </c>
      <c r="H11" s="11">
        <v>0</v>
      </c>
      <c r="I11" s="9">
        <v>-0.19</v>
      </c>
      <c r="J11" s="11">
        <v>0</v>
      </c>
      <c r="K11" s="9">
        <v>0.97</v>
      </c>
      <c r="L11" s="10">
        <v>2</v>
      </c>
      <c r="M11" s="9">
        <v>1.1599999999999999</v>
      </c>
      <c r="N11" s="10">
        <v>1</v>
      </c>
      <c r="O11" s="9">
        <v>1.18</v>
      </c>
      <c r="P11" s="10">
        <v>0</v>
      </c>
      <c r="Q11" s="8">
        <v>9</v>
      </c>
      <c r="R11" s="8">
        <v>12</v>
      </c>
      <c r="S11" s="8">
        <v>1.33</v>
      </c>
      <c r="T11" s="8">
        <v>11</v>
      </c>
      <c r="U11">
        <f t="shared" si="0"/>
        <v>0</v>
      </c>
      <c r="V11">
        <f t="shared" si="1"/>
        <v>1</v>
      </c>
      <c r="W11">
        <f t="shared" si="2"/>
        <v>0</v>
      </c>
      <c r="X11">
        <f t="shared" si="3"/>
        <v>4.333333333333333</v>
      </c>
      <c r="Y11" s="12">
        <f>AVERAGE(K11,M11,O11)</f>
        <v>1.1033333333333333</v>
      </c>
      <c r="Z11" s="12">
        <f t="shared" si="4"/>
        <v>0.22666666666666679</v>
      </c>
    </row>
    <row r="13" spans="1:26" x14ac:dyDescent="0.45">
      <c r="Y13">
        <f>AVERAGE(Y2:Y11)</f>
        <v>1.6246666666666667</v>
      </c>
      <c r="Z13">
        <f>AVERAGE(Z2:Z11)</f>
        <v>-0.31923306666666668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Rosie C</dc:creator>
  <cp:lastModifiedBy>Rosie C</cp:lastModifiedBy>
  <dcterms:created xsi:type="dcterms:W3CDTF">2026-01-21T11:20:19Z</dcterms:created>
  <dcterms:modified xsi:type="dcterms:W3CDTF">2026-01-21T17:06:17Z</dcterms:modified>
</cp:coreProperties>
</file>